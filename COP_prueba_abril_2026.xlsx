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cripcion" sheetId="2" state="visible" r:id="rId2"/>
    <sheet name="Hora Sillon" sheetId="3" state="visible" r:id="rId3"/>
    <sheet name="Prevision" sheetId="4" state="visible" r:id="rId4"/>
    <sheet name="Hoja1" sheetId="5" state="visible" r:id="rId5"/>
    <sheet name="Hoja2" sheetId="6" state="visible" r:id="rId6"/>
    <sheet name="Hoja3" sheetId="7" state="visible" r:id="rId7"/>
    <sheet name="Hoja4" sheetId="8" state="visible" r:id="rId8"/>
    <sheet name="Hoja5" sheetId="9" state="visible" r:id="rId9"/>
    <sheet name="Hoja6" sheetId="10" state="visible" r:id="rId10"/>
    <sheet name="Hoja7" sheetId="11" state="visible" r:id="rId11"/>
    <sheet name="Hoja8" sheetId="12" state="visible" r:id="rId12"/>
    <sheet name="Hoja9" sheetId="13" state="visible" r:id="rId13"/>
    <sheet name="Hoja10" sheetId="14" state="visible" r:id="rId14"/>
    <sheet name="Hoja11" sheetId="15" state="visible" r:id="rId15"/>
    <sheet name="Hoja12" sheetId="16" state="visible" r:id="rId16"/>
    <sheet name="Hoja13" sheetId="17" state="visible" r:id="rId17"/>
    <sheet name="Hoja14" sheetId="18" state="visible" r:id="rId18"/>
    <sheet name="Hoja15" sheetId="19" state="visible" r:id="rId19"/>
    <sheet name="Hoja16" sheetId="20" state="visible" r:id="rId20"/>
    <sheet name="Hoja17" sheetId="21" state="visible" r:id="rId21"/>
    <sheet name="Hoja18" sheetId="22" state="visible" r:id="rId22"/>
    <sheet name="Hoja19" sheetId="23" state="visible" r:id="rId23"/>
    <sheet name="Hoja20" sheetId="24" state="visible" r:id="rId24"/>
    <sheet name="Hoja21" sheetId="25" state="visible" r:id="rId25"/>
    <sheet name="Hoja22" sheetId="26" state="visible" r:id="rId26"/>
    <sheet name="Hoja23" sheetId="27" state="visible" r:id="rId27"/>
    <sheet name="Hoja24" sheetId="28" state="visible" r:id="rId28"/>
    <sheet name="Hoja25" sheetId="29" state="visible" r:id="rId29"/>
    <sheet name="Hoja26" sheetId="30" state="visible" r:id="rId30"/>
    <sheet name="Hoja27" sheetId="31" state="visible" r:id="rId31"/>
    <sheet name="Hoja28" sheetId="32" state="visible" r:id="rId32"/>
    <sheet name="Hoja29" sheetId="33" state="visible" r:id="rId33"/>
    <sheet name="Hoja30" sheetId="34" state="visible" r:id="rId34"/>
    <sheet name="Hoja31" sheetId="35" state="visible" r:id="rId35"/>
    <sheet name="Hoja32" sheetId="36" state="visible" r:id="rId36"/>
    <sheet name="Hoja33" sheetId="37" state="visible" r:id="rId37"/>
    <sheet name="Hoja34" sheetId="38" state="visible" r:id="rId38"/>
    <sheet name="Hoja35" sheetId="39" state="visible" r:id="rId39"/>
    <sheet name="Hoja36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0D6B7E"/>
      <sz val="10"/>
    </font>
    <font>
      <name val="Calibri"/>
      <b val="1"/>
      <color rgb="00AAAAAA"/>
      <sz val="9"/>
    </font>
    <font>
      <name val="Calibri"/>
      <i val="1"/>
      <color rgb="00CCCCCC"/>
      <sz val="8"/>
    </font>
  </fonts>
  <fills count="13">
    <fill>
      <patternFill/>
    </fill>
    <fill>
      <patternFill patternType="gray125"/>
    </fill>
    <fill>
      <patternFill patternType="solid">
        <fgColor rgb="000D6B7E"/>
        <bgColor rgb="000D6B7E"/>
      </patternFill>
    </fill>
    <fill>
      <patternFill patternType="solid">
        <fgColor rgb="001A8FA0"/>
        <bgColor rgb="001A8FA0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B3E5EC"/>
        <bgColor rgb="00B3E5EC"/>
      </patternFill>
    </fill>
    <fill>
      <patternFill patternType="solid">
        <fgColor rgb="001E5631"/>
        <bgColor rgb="001E5631"/>
      </patternFill>
    </fill>
    <fill>
      <patternFill patternType="solid">
        <fgColor rgb="004A148C"/>
        <bgColor rgb="004A148C"/>
      </patternFill>
    </fill>
    <fill>
      <patternFill patternType="solid">
        <fgColor rgb="00E1BEE7"/>
        <bgColor rgb="00E1BEE7"/>
      </patternFill>
    </fill>
    <fill>
      <patternFill patternType="solid">
        <fgColor rgb="0037474F"/>
        <bgColor rgb="0037474F"/>
      </patternFill>
    </fill>
    <fill>
      <patternFill patternType="solid">
        <fgColor rgb="00455A64"/>
        <bgColor rgb="00455A64"/>
      </patternFill>
    </fill>
    <fill>
      <patternFill patternType="solid">
        <fgColor rgb="009C5700"/>
        <bgColor rgb="009C57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3" fontId="0" fillId="9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2" customWidth="1" min="4" max="4"/>
    <col width="18" customWidth="1" min="5" max="5"/>
    <col width="40" customWidth="1" min="6" max="6"/>
    <col width="30" customWidth="1" min="7" max="7"/>
    <col width="14" customWidth="1" min="8" max="8"/>
    <col width="12" customWidth="1" min="9" max="9"/>
    <col width="14" customWidth="1" min="10" max="10"/>
  </cols>
  <sheetData>
    <row r="1" ht="28" customHeight="1">
      <c r="A1" s="1" t="inlineStr">
        <is>
          <t>RESUMEN COP — ABRIL 2026</t>
        </is>
      </c>
    </row>
    <row r="2" ht="18" customHeight="1">
      <c r="A2" s="2" t="inlineStr">
        <is>
          <t>Ficha</t>
        </is>
      </c>
      <c r="B2" s="2" t="inlineStr">
        <is>
          <t>Nombre</t>
        </is>
      </c>
      <c r="C2" s="2" t="inlineStr">
        <is>
          <t>RUT</t>
        </is>
      </c>
      <c r="D2" s="2" t="inlineStr">
        <is>
          <t>FECHA</t>
        </is>
      </c>
      <c r="E2" s="2" t="inlineStr">
        <is>
          <t>HORAS DE SILLON</t>
        </is>
      </c>
      <c r="F2" s="2" t="inlineStr">
        <is>
          <t>INSUMOS &amp; MEDICAMENTOS</t>
        </is>
      </c>
      <c r="G2" s="2" t="inlineStr">
        <is>
          <t>OTROS</t>
        </is>
      </c>
      <c r="H2" s="2" t="inlineStr">
        <is>
          <t>TOTAL NETO</t>
        </is>
      </c>
      <c r="I2" s="2" t="inlineStr">
        <is>
          <t>IVA</t>
        </is>
      </c>
      <c r="J2" s="2" t="inlineStr">
        <is>
          <t>TOTAL</t>
        </is>
      </c>
    </row>
    <row r="3" ht="15" customHeight="1">
      <c r="A3" s="3" t="n">
        <v>1</v>
      </c>
      <c r="B3" s="4" t="inlineStr">
        <is>
          <t>María González Rojas</t>
        </is>
      </c>
      <c r="C3" s="5" t="inlineStr">
        <is>
          <t>12.345.678-9</t>
        </is>
      </c>
      <c r="D3" s="5" t="inlineStr">
        <is>
          <t>02/04/2026</t>
        </is>
      </c>
      <c r="E3" s="5" t="inlineStr">
        <is>
          <t>04:30:00</t>
        </is>
      </c>
      <c r="F3" s="4" t="inlineStr">
        <is>
          <t>Oxaliplatino 200mg (x2 vial), 5-Fluorouracilo 500mg (x4 ampolla), Ondansetron 8mg (x2 ampolla), Suero fisiológico 500ml (x3 bolsa)</t>
        </is>
      </c>
      <c r="G3" s="4" t="inlineStr">
        <is>
          <t>Toma de vía venosa (x1 procedimiento)</t>
        </is>
      </c>
      <c r="H3" s="3" t="n">
        <v>515600</v>
      </c>
      <c r="I3" s="3">
        <f>H3*0.19</f>
        <v/>
      </c>
      <c r="J3" s="3">
        <f>H3+I3</f>
        <v/>
      </c>
    </row>
    <row r="4" ht="15" customHeight="1">
      <c r="A4" s="6" t="n">
        <v>1</v>
      </c>
      <c r="B4" s="7" t="inlineStr">
        <is>
          <t>María González Rojas</t>
        </is>
      </c>
      <c r="C4" s="8" t="inlineStr">
        <is>
          <t>12.345.678-9</t>
        </is>
      </c>
      <c r="D4" s="8" t="inlineStr">
        <is>
          <t>16/04/2026</t>
        </is>
      </c>
      <c r="E4" s="8" t="inlineStr">
        <is>
          <t>04:45:00</t>
        </is>
      </c>
      <c r="F4" s="7" t="inlineStr">
        <is>
          <t>Oxaliplatino 200mg (x2 vial), 5-Fluorouracilo 500mg (x4 ampolla), Ondansetron 8mg (x3 ampolla)</t>
        </is>
      </c>
      <c r="G4" s="7" t="inlineStr">
        <is>
          <t>Toma de vía venosa (x1 procedimiento)</t>
        </is>
      </c>
      <c r="H4" s="6" t="n">
        <v>510500</v>
      </c>
      <c r="I4" s="6">
        <f>H4*0.19</f>
        <v/>
      </c>
      <c r="J4" s="6">
        <f>H4+I4</f>
        <v/>
      </c>
    </row>
    <row r="5" ht="15" customHeight="1">
      <c r="A5" s="3" t="n">
        <v>2</v>
      </c>
      <c r="B5" s="4" t="inlineStr">
        <is>
          <t>Jorge Muñoz Castillo</t>
        </is>
      </c>
      <c r="C5" s="5" t="inlineStr">
        <is>
          <t>9.876.543-2</t>
        </is>
      </c>
      <c r="D5" s="5" t="inlineStr">
        <is>
          <t>03/04/2026</t>
        </is>
      </c>
      <c r="E5" s="5" t="inlineStr">
        <is>
          <t>02:30:00</t>
        </is>
      </c>
      <c r="F5" s="4" t="inlineStr">
        <is>
          <t>Paclitaxel 300mg (x1 vial), Dexametasona 8mg (x2 ampolla), Ranitidina 50mg (x1 ampolla), Suero fisiológico 500ml (x2 bolsa)</t>
        </is>
      </c>
      <c r="G5" s="4" t="inlineStr">
        <is>
          <t>Toma de vía venosa (x1 procedimiento)</t>
        </is>
      </c>
      <c r="H5" s="3" t="n">
        <v>351800</v>
      </c>
      <c r="I5" s="3">
        <f>H5*0.19</f>
        <v/>
      </c>
      <c r="J5" s="3">
        <f>H5+I5</f>
        <v/>
      </c>
    </row>
    <row r="6" ht="15" customHeight="1">
      <c r="A6" s="6" t="n">
        <v>2</v>
      </c>
      <c r="B6" s="7" t="inlineStr">
        <is>
          <t>Jorge Muñoz Castillo</t>
        </is>
      </c>
      <c r="C6" s="8" t="inlineStr">
        <is>
          <t>9.876.543-2</t>
        </is>
      </c>
      <c r="D6" s="8" t="inlineStr">
        <is>
          <t>10/04/2026</t>
        </is>
      </c>
      <c r="E6" s="8" t="inlineStr">
        <is>
          <t>02:45:00</t>
        </is>
      </c>
      <c r="F6" s="7" t="inlineStr">
        <is>
          <t>Paclitaxel 300mg (x1 vial), Dexametasona 8mg (x2 ampolla)</t>
        </is>
      </c>
      <c r="G6" s="7" t="inlineStr">
        <is>
          <t>Toma de vía venosa (x1 procedimiento)</t>
        </is>
      </c>
      <c r="H6" s="6" t="n">
        <v>342600</v>
      </c>
      <c r="I6" s="6">
        <f>H6*0.19</f>
        <v/>
      </c>
      <c r="J6" s="6">
        <f>H6+I6</f>
        <v/>
      </c>
    </row>
    <row r="7" ht="15" customHeight="1">
      <c r="A7" s="3" t="n">
        <v>3</v>
      </c>
      <c r="B7" s="4" t="inlineStr">
        <is>
          <t>Ana Sofía Vera Pizarro</t>
        </is>
      </c>
      <c r="C7" s="5" t="inlineStr">
        <is>
          <t>15.234.567-K</t>
        </is>
      </c>
      <c r="D7" s="5" t="inlineStr">
        <is>
          <t>07/04/2026</t>
        </is>
      </c>
      <c r="E7" s="5" t="inlineStr">
        <is>
          <t>06:30:00</t>
        </is>
      </c>
      <c r="F7" s="4" t="inlineStr">
        <is>
          <t>Doxorubicina 50mg (x1 vial), Ciclofosfamida 1g (x1 vial), Ondansetron 8mg (x2 ampolla), Dexametasona 8mg (x2 ampolla), Filgrastim 300mcg (x1 jeringa)</t>
        </is>
      </c>
      <c r="G7" s="4" t="inlineStr">
        <is>
          <t>Toma de vía venosa (x1 procedimiento), Instalación de BIC (x1 procedimiento)</t>
        </is>
      </c>
      <c r="H7" s="3" t="n">
        <v>351600</v>
      </c>
      <c r="I7" s="3">
        <f>H7*0.19</f>
        <v/>
      </c>
      <c r="J7" s="3">
        <f>H7+I7</f>
        <v/>
      </c>
    </row>
    <row r="8" ht="15" customHeight="1">
      <c r="A8" s="6" t="n">
        <v>3</v>
      </c>
      <c r="B8" s="7" t="inlineStr">
        <is>
          <t>Ana Sofía Vera Pizarro</t>
        </is>
      </c>
      <c r="C8" s="8" t="inlineStr">
        <is>
          <t>15.234.567-K</t>
        </is>
      </c>
      <c r="D8" s="8" t="inlineStr">
        <is>
          <t>21/04/2026</t>
        </is>
      </c>
      <c r="E8" s="8" t="inlineStr">
        <is>
          <t>06:00:00</t>
        </is>
      </c>
      <c r="F8" s="7" t="inlineStr">
        <is>
          <t>Doxorubicina 50mg (x1 vial), Ciclofosfamida 1g (x1 vial), Ondansetron 8mg (x3 ampolla), Dexametasona 8mg (x2 ampolla)</t>
        </is>
      </c>
      <c r="G8" s="7" t="inlineStr">
        <is>
          <t>Toma de vía venosa (x1 procedimiento)</t>
        </is>
      </c>
      <c r="H8" s="6" t="n">
        <v>279100</v>
      </c>
      <c r="I8" s="6">
        <f>H8*0.19</f>
        <v/>
      </c>
      <c r="J8" s="6">
        <f>H8+I8</f>
        <v/>
      </c>
    </row>
    <row r="9" ht="15" customHeight="1">
      <c r="A9" s="3" t="n">
        <v>4</v>
      </c>
      <c r="B9" s="4" t="inlineStr">
        <is>
          <t>Carlos Ramírez Torres</t>
        </is>
      </c>
      <c r="C9" s="5" t="inlineStr">
        <is>
          <t>8.765.432-1</t>
        </is>
      </c>
      <c r="D9" s="5" t="inlineStr">
        <is>
          <t>14/04/2026</t>
        </is>
      </c>
      <c r="E9" s="5" t="inlineStr">
        <is>
          <t>03:00:00</t>
        </is>
      </c>
      <c r="F9" s="4" t="inlineStr">
        <is>
          <t>Rituximab 500mg (x1 vial), Dexametasona 8mg (x1 ampolla)</t>
        </is>
      </c>
      <c r="G9" s="4" t="inlineStr">
        <is>
          <t>Toma de vía venosa (x1 procedimiento)</t>
        </is>
      </c>
      <c r="H9" s="3" t="n">
        <v>908800</v>
      </c>
      <c r="I9" s="3">
        <f>H9*0.19</f>
        <v/>
      </c>
      <c r="J9" s="3">
        <f>H9+I9</f>
        <v/>
      </c>
    </row>
    <row r="10" ht="15" customHeight="1">
      <c r="A10" s="6" t="n">
        <v>4</v>
      </c>
      <c r="B10" s="7" t="inlineStr">
        <is>
          <t>Carlos Ramírez Torres</t>
        </is>
      </c>
      <c r="C10" s="8" t="inlineStr">
        <is>
          <t>8.765.432-1</t>
        </is>
      </c>
      <c r="D10" s="8" t="inlineStr">
        <is>
          <t>28/04/2026</t>
        </is>
      </c>
      <c r="E10" s="8" t="inlineStr">
        <is>
          <t>02:30:00</t>
        </is>
      </c>
      <c r="F10" s="7" t="inlineStr">
        <is>
          <t>Rituximab 500mg (x1 vial)</t>
        </is>
      </c>
      <c r="G10" s="7" t="inlineStr">
        <is>
          <t>Toma de vía venosa (x1 procedimiento)</t>
        </is>
      </c>
      <c r="H10" s="6" t="n">
        <v>905000</v>
      </c>
      <c r="I10" s="6">
        <f>H10*0.19</f>
        <v/>
      </c>
      <c r="J10" s="6">
        <f>H10+I10</f>
        <v/>
      </c>
    </row>
    <row r="11" ht="18" customHeight="1">
      <c r="G11" s="9" t="inlineStr">
        <is>
          <t>TOTALES</t>
        </is>
      </c>
      <c r="H11" s="10">
        <f>SUM(H3:H10)</f>
        <v/>
      </c>
      <c r="I11" s="10">
        <f>SUM(I3:I10)</f>
        <v/>
      </c>
      <c r="J11" s="10">
        <f>SUM(J3:J10)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4" customWidth="1" min="4" max="4"/>
    <col width="4" customWidth="1" min="5" max="5"/>
    <col width="36" customWidth="1" min="6" max="6"/>
    <col width="16" customWidth="1" min="7" max="7"/>
    <col width="16" customWidth="1" min="8" max="8"/>
  </cols>
  <sheetData>
    <row r="1" ht="28" customHeight="1">
      <c r="A1" s="11" t="inlineStr">
        <is>
          <t>DESCRIPCION — ABRIL 2026</t>
        </is>
      </c>
    </row>
    <row r="2" ht="18" customHeight="1">
      <c r="A2" s="12" t="inlineStr">
        <is>
          <t>DESCRIPCION</t>
        </is>
      </c>
      <c r="B2" s="12" t="inlineStr">
        <is>
          <t>Codigo</t>
        </is>
      </c>
      <c r="C2" s="12" t="inlineStr">
        <is>
          <t>Valor Unitario</t>
        </is>
      </c>
      <c r="F2" s="13" t="inlineStr">
        <is>
          <t>OTROS</t>
        </is>
      </c>
      <c r="G2" s="13" t="inlineStr">
        <is>
          <t>CODIGO</t>
        </is>
      </c>
      <c r="H2" s="13" t="inlineStr">
        <is>
          <t>Honorarios</t>
        </is>
      </c>
    </row>
    <row r="3" ht="15" customHeight="1">
      <c r="A3" s="7" t="inlineStr">
        <is>
          <t>Oxaliplatino 200mg</t>
        </is>
      </c>
      <c r="B3" s="14" t="inlineStr">
        <is>
          <t>OXA-200</t>
        </is>
      </c>
      <c r="C3" s="6" t="n">
        <v>185000</v>
      </c>
      <c r="F3" s="15" t="inlineStr">
        <is>
          <t>Toma de vía venosa</t>
        </is>
      </c>
      <c r="G3" s="16" t="inlineStr">
        <is>
          <t>TVV-001</t>
        </is>
      </c>
      <c r="H3" s="17" t="n">
        <v>15000</v>
      </c>
    </row>
    <row r="4" ht="15" customHeight="1">
      <c r="A4" s="4" t="inlineStr">
        <is>
          <t>5-Fluorouracilo 500mg</t>
        </is>
      </c>
      <c r="B4" s="18" t="inlineStr">
        <is>
          <t>5FU-500</t>
        </is>
      </c>
      <c r="C4" s="3" t="n">
        <v>28000</v>
      </c>
      <c r="F4" s="4" t="inlineStr">
        <is>
          <t>Instalación de BIC</t>
        </is>
      </c>
      <c r="G4" s="18" t="inlineStr">
        <is>
          <t>BIC-001</t>
        </is>
      </c>
      <c r="H4" s="3" t="n">
        <v>25000</v>
      </c>
    </row>
    <row r="5" ht="15" customHeight="1">
      <c r="A5" s="7" t="inlineStr">
        <is>
          <t>Ondansetron 8mg</t>
        </is>
      </c>
      <c r="B5" s="14" t="inlineStr">
        <is>
          <t>OND-8</t>
        </is>
      </c>
      <c r="C5" s="6" t="n">
        <v>4500</v>
      </c>
    </row>
    <row r="6" ht="15" customHeight="1">
      <c r="A6" s="4" t="inlineStr">
        <is>
          <t>Suero fisiológico 500ml</t>
        </is>
      </c>
      <c r="B6" s="18" t="inlineStr">
        <is>
          <t>SF-500</t>
        </is>
      </c>
      <c r="C6" s="3" t="n">
        <v>3200</v>
      </c>
    </row>
    <row r="7" ht="15" customHeight="1">
      <c r="A7" s="7" t="inlineStr">
        <is>
          <t>Paclitaxel 300mg</t>
        </is>
      </c>
      <c r="B7" s="14" t="inlineStr">
        <is>
          <t>PAC-300</t>
        </is>
      </c>
      <c r="C7" s="6" t="n">
        <v>320000</v>
      </c>
    </row>
    <row r="8" ht="15" customHeight="1">
      <c r="A8" s="4" t="inlineStr">
        <is>
          <t>Dexametasona 8mg</t>
        </is>
      </c>
      <c r="B8" s="18" t="inlineStr">
        <is>
          <t>DEX-8</t>
        </is>
      </c>
      <c r="C8" s="3" t="n">
        <v>3800</v>
      </c>
    </row>
    <row r="9" ht="15" customHeight="1">
      <c r="A9" s="7" t="inlineStr">
        <is>
          <t>Ranitidina 50mg</t>
        </is>
      </c>
      <c r="B9" s="14" t="inlineStr">
        <is>
          <t>RAN-50</t>
        </is>
      </c>
      <c r="C9" s="6" t="n">
        <v>2800</v>
      </c>
    </row>
    <row r="10" ht="15" customHeight="1">
      <c r="A10" s="4" t="inlineStr">
        <is>
          <t>Doxorubicina 50mg</t>
        </is>
      </c>
      <c r="B10" s="18" t="inlineStr">
        <is>
          <t>DOX-50</t>
        </is>
      </c>
      <c r="C10" s="3" t="n">
        <v>145000</v>
      </c>
    </row>
    <row r="11" ht="15" customHeight="1">
      <c r="A11" s="7" t="inlineStr">
        <is>
          <t>Ciclofosfamida 1g</t>
        </is>
      </c>
      <c r="B11" s="14" t="inlineStr">
        <is>
          <t>CIC-1G</t>
        </is>
      </c>
      <c r="C11" s="6" t="n">
        <v>98000</v>
      </c>
    </row>
    <row r="12" ht="15" customHeight="1">
      <c r="A12" s="4" t="inlineStr">
        <is>
          <t>Filgrastim 300mcg</t>
        </is>
      </c>
      <c r="B12" s="18" t="inlineStr">
        <is>
          <t>FIL-300</t>
        </is>
      </c>
      <c r="C12" s="3" t="n">
        <v>52000</v>
      </c>
    </row>
    <row r="13" ht="15" customHeight="1">
      <c r="A13" s="7" t="inlineStr">
        <is>
          <t>Rituximab 500mg</t>
        </is>
      </c>
      <c r="B13" s="14" t="inlineStr">
        <is>
          <t>RIT-500</t>
        </is>
      </c>
      <c r="C13" s="6" t="n">
        <v>890000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4" customWidth="1" min="3" max="3"/>
    <col width="2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8" customHeight="1">
      <c r="A1" s="19" t="inlineStr">
        <is>
          <t>HORA SILLON — ABRIL 2026</t>
        </is>
      </c>
    </row>
    <row r="2" ht="18" customHeight="1">
      <c r="A2" s="20" t="inlineStr">
        <is>
          <t>Descripcion</t>
        </is>
      </c>
      <c r="B2" s="20" t="inlineStr">
        <is>
          <t>Cod Inte</t>
        </is>
      </c>
      <c r="C2" s="20" t="inlineStr">
        <is>
          <t>Principio Activo</t>
        </is>
      </c>
      <c r="D2" s="20" t="inlineStr">
        <is>
          <t>Laboratorio</t>
        </is>
      </c>
      <c r="E2" s="20" t="inlineStr">
        <is>
          <t>Precio Neto</t>
        </is>
      </c>
      <c r="F2" s="20" t="inlineStr">
        <is>
          <t>IVA</t>
        </is>
      </c>
      <c r="G2" s="20" t="inlineStr">
        <is>
          <t>Recargo</t>
        </is>
      </c>
      <c r="H2" s="20" t="inlineStr">
        <is>
          <t>Columna1</t>
        </is>
      </c>
    </row>
    <row r="3" ht="15" customHeight="1">
      <c r="A3" s="7" t="inlineStr">
        <is>
          <t>Oxaliplatino 200mg</t>
        </is>
      </c>
      <c r="B3" s="8" t="inlineStr">
        <is>
          <t>OXA-200</t>
        </is>
      </c>
      <c r="C3" s="7" t="inlineStr">
        <is>
          <t>Oxaliplatino</t>
        </is>
      </c>
      <c r="D3" s="7" t="inlineStr">
        <is>
          <t>Sandoz</t>
        </is>
      </c>
      <c r="E3" s="6" t="n">
        <v>185000</v>
      </c>
      <c r="F3" s="6">
        <f>E3*0.19</f>
        <v/>
      </c>
      <c r="G3" s="6" t="n">
        <v>0</v>
      </c>
      <c r="H3" s="8" t="inlineStr"/>
    </row>
    <row r="4" ht="15" customHeight="1">
      <c r="A4" s="4" t="inlineStr">
        <is>
          <t>5-Fluorouracilo 500mg</t>
        </is>
      </c>
      <c r="B4" s="5" t="inlineStr">
        <is>
          <t>5FU-500</t>
        </is>
      </c>
      <c r="C4" s="4" t="inlineStr">
        <is>
          <t>Fluorouracilo</t>
        </is>
      </c>
      <c r="D4" s="4" t="inlineStr">
        <is>
          <t>Pfizer</t>
        </is>
      </c>
      <c r="E4" s="3" t="n">
        <v>28000</v>
      </c>
      <c r="F4" s="3">
        <f>E4*0.19</f>
        <v/>
      </c>
      <c r="G4" s="3" t="n">
        <v>0</v>
      </c>
      <c r="H4" s="5" t="inlineStr"/>
    </row>
    <row r="5" ht="15" customHeight="1">
      <c r="A5" s="7" t="inlineStr">
        <is>
          <t>Ondansetron 8mg</t>
        </is>
      </c>
      <c r="B5" s="8" t="inlineStr">
        <is>
          <t>OND-8</t>
        </is>
      </c>
      <c r="C5" s="7" t="inlineStr">
        <is>
          <t>Ondansetron clorhidrato</t>
        </is>
      </c>
      <c r="D5" s="7" t="inlineStr">
        <is>
          <t>Recalcine</t>
        </is>
      </c>
      <c r="E5" s="6" t="n">
        <v>4500</v>
      </c>
      <c r="F5" s="6">
        <f>E5*0.19</f>
        <v/>
      </c>
      <c r="G5" s="6" t="n">
        <v>0</v>
      </c>
      <c r="H5" s="8" t="inlineStr"/>
    </row>
    <row r="6" ht="15" customHeight="1">
      <c r="A6" s="4" t="inlineStr">
        <is>
          <t>Suero fisiológico 500ml</t>
        </is>
      </c>
      <c r="B6" s="5" t="inlineStr">
        <is>
          <t>SF-500</t>
        </is>
      </c>
      <c r="C6" s="4" t="inlineStr">
        <is>
          <t>Cloruro de sodio 0.9%</t>
        </is>
      </c>
      <c r="D6" s="4" t="inlineStr">
        <is>
          <t>Baxter</t>
        </is>
      </c>
      <c r="E6" s="3" t="n">
        <v>3200</v>
      </c>
      <c r="F6" s="3">
        <f>E6*0.19</f>
        <v/>
      </c>
      <c r="G6" s="3" t="n">
        <v>0</v>
      </c>
      <c r="H6" s="5" t="inlineStr"/>
    </row>
    <row r="7" ht="15" customHeight="1">
      <c r="A7" s="7" t="inlineStr">
        <is>
          <t>Toma de vía venosa</t>
        </is>
      </c>
      <c r="B7" s="8" t="inlineStr">
        <is>
          <t>TVV-001</t>
        </is>
      </c>
      <c r="C7" s="7" t="inlineStr"/>
      <c r="D7" s="7" t="inlineStr"/>
      <c r="E7" s="6" t="n">
        <v>15000</v>
      </c>
      <c r="F7" s="6">
        <f>E7*0.19</f>
        <v/>
      </c>
      <c r="G7" s="6" t="n">
        <v>0</v>
      </c>
      <c r="H7" s="8" t="inlineStr"/>
    </row>
    <row r="8" ht="15" customHeight="1">
      <c r="A8" s="4" t="inlineStr">
        <is>
          <t>Paclitaxel 300mg</t>
        </is>
      </c>
      <c r="B8" s="5" t="inlineStr">
        <is>
          <t>PAC-300</t>
        </is>
      </c>
      <c r="C8" s="4" t="inlineStr">
        <is>
          <t>Paclitaxel</t>
        </is>
      </c>
      <c r="D8" s="4" t="inlineStr">
        <is>
          <t>Bristol-Myers Squibb</t>
        </is>
      </c>
      <c r="E8" s="3" t="n">
        <v>320000</v>
      </c>
      <c r="F8" s="3">
        <f>E8*0.19</f>
        <v/>
      </c>
      <c r="G8" s="3" t="n">
        <v>0</v>
      </c>
      <c r="H8" s="5" t="inlineStr"/>
    </row>
    <row r="9" ht="15" customHeight="1">
      <c r="A9" s="7" t="inlineStr">
        <is>
          <t>Dexametasona 8mg</t>
        </is>
      </c>
      <c r="B9" s="8" t="inlineStr">
        <is>
          <t>DEX-8</t>
        </is>
      </c>
      <c r="C9" s="7" t="inlineStr">
        <is>
          <t>Dexametasona</t>
        </is>
      </c>
      <c r="D9" s="7" t="inlineStr">
        <is>
          <t>Biosano</t>
        </is>
      </c>
      <c r="E9" s="6" t="n">
        <v>3800</v>
      </c>
      <c r="F9" s="6">
        <f>E9*0.19</f>
        <v/>
      </c>
      <c r="G9" s="6" t="n">
        <v>0</v>
      </c>
      <c r="H9" s="8" t="inlineStr"/>
    </row>
    <row r="10" ht="15" customHeight="1">
      <c r="A10" s="4" t="inlineStr">
        <is>
          <t>Ranitidina 50mg</t>
        </is>
      </c>
      <c r="B10" s="5" t="inlineStr">
        <is>
          <t>RAN-50</t>
        </is>
      </c>
      <c r="C10" s="4" t="inlineStr">
        <is>
          <t>Ranitidina clorhidrato</t>
        </is>
      </c>
      <c r="D10" s="4" t="inlineStr">
        <is>
          <t>Laboratorio Chile</t>
        </is>
      </c>
      <c r="E10" s="3" t="n">
        <v>2800</v>
      </c>
      <c r="F10" s="3">
        <f>E10*0.19</f>
        <v/>
      </c>
      <c r="G10" s="3" t="n">
        <v>0</v>
      </c>
      <c r="H10" s="5" t="inlineStr"/>
    </row>
    <row r="11" ht="15" customHeight="1">
      <c r="A11" s="7" t="inlineStr">
        <is>
          <t>Doxorubicina 50mg</t>
        </is>
      </c>
      <c r="B11" s="8" t="inlineStr">
        <is>
          <t>DOX-50</t>
        </is>
      </c>
      <c r="C11" s="7" t="inlineStr">
        <is>
          <t>Doxorubicina clorhidrato</t>
        </is>
      </c>
      <c r="D11" s="7" t="inlineStr">
        <is>
          <t>Pfizer</t>
        </is>
      </c>
      <c r="E11" s="6" t="n">
        <v>145000</v>
      </c>
      <c r="F11" s="6">
        <f>E11*0.19</f>
        <v/>
      </c>
      <c r="G11" s="6" t="n">
        <v>0</v>
      </c>
      <c r="H11" s="8" t="inlineStr"/>
    </row>
    <row r="12" ht="15" customHeight="1">
      <c r="A12" s="4" t="inlineStr">
        <is>
          <t>Ciclofosfamida 1g</t>
        </is>
      </c>
      <c r="B12" s="5" t="inlineStr">
        <is>
          <t>CIC-1G</t>
        </is>
      </c>
      <c r="C12" s="4" t="inlineStr">
        <is>
          <t>Ciclofosfamida</t>
        </is>
      </c>
      <c r="D12" s="4" t="inlineStr">
        <is>
          <t>Sandoz</t>
        </is>
      </c>
      <c r="E12" s="3" t="n">
        <v>98000</v>
      </c>
      <c r="F12" s="3">
        <f>E12*0.19</f>
        <v/>
      </c>
      <c r="G12" s="3" t="n">
        <v>0</v>
      </c>
      <c r="H12" s="5" t="inlineStr"/>
    </row>
    <row r="13" ht="15" customHeight="1">
      <c r="A13" s="7" t="inlineStr">
        <is>
          <t>Filgrastim 300mcg</t>
        </is>
      </c>
      <c r="B13" s="8" t="inlineStr">
        <is>
          <t>FIL-300</t>
        </is>
      </c>
      <c r="C13" s="7" t="inlineStr">
        <is>
          <t>Filgrastim</t>
        </is>
      </c>
      <c r="D13" s="7" t="inlineStr">
        <is>
          <t>Amgen</t>
        </is>
      </c>
      <c r="E13" s="6" t="n">
        <v>52000</v>
      </c>
      <c r="F13" s="6">
        <f>E13*0.19</f>
        <v/>
      </c>
      <c r="G13" s="6" t="n">
        <v>0</v>
      </c>
      <c r="H13" s="8" t="inlineStr"/>
    </row>
    <row r="14" ht="15" customHeight="1">
      <c r="A14" s="4" t="inlineStr">
        <is>
          <t>Instalación de BIC</t>
        </is>
      </c>
      <c r="B14" s="5" t="inlineStr">
        <is>
          <t>BIC-001</t>
        </is>
      </c>
      <c r="C14" s="4" t="inlineStr"/>
      <c r="D14" s="4" t="inlineStr"/>
      <c r="E14" s="3" t="n">
        <v>25000</v>
      </c>
      <c r="F14" s="3">
        <f>E14*0.19</f>
        <v/>
      </c>
      <c r="G14" s="3" t="n">
        <v>0</v>
      </c>
      <c r="H14" s="5" t="inlineStr"/>
    </row>
    <row r="15" ht="15" customHeight="1">
      <c r="A15" s="7" t="inlineStr">
        <is>
          <t>Rituximab 500mg</t>
        </is>
      </c>
      <c r="B15" s="8" t="inlineStr">
        <is>
          <t>RIT-500</t>
        </is>
      </c>
      <c r="C15" s="7" t="inlineStr">
        <is>
          <t>Rituximab</t>
        </is>
      </c>
      <c r="D15" s="7" t="inlineStr">
        <is>
          <t>Roche</t>
        </is>
      </c>
      <c r="E15" s="6" t="n">
        <v>890000</v>
      </c>
      <c r="F15" s="6">
        <f>E15*0.19</f>
        <v/>
      </c>
      <c r="G15" s="6" t="n">
        <v>0</v>
      </c>
      <c r="H15" s="8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24" customWidth="1" min="4" max="4"/>
  </cols>
  <sheetData>
    <row r="1" ht="28" customHeight="1">
      <c r="A1" s="21" t="inlineStr">
        <is>
          <t>PREVISION — ABRIL 2026</t>
        </is>
      </c>
    </row>
    <row r="2" ht="18" customHeight="1">
      <c r="A2" s="22" t="inlineStr">
        <is>
          <t>Ficha</t>
        </is>
      </c>
      <c r="B2" s="22" t="inlineStr">
        <is>
          <t>Nombre</t>
        </is>
      </c>
      <c r="C2" s="22" t="inlineStr">
        <is>
          <t>RUT</t>
        </is>
      </c>
      <c r="D2" s="22" t="inlineStr">
        <is>
          <t>Prevision</t>
        </is>
      </c>
    </row>
    <row r="3" ht="15" customHeight="1">
      <c r="A3" s="3" t="n">
        <v>1</v>
      </c>
      <c r="B3" s="4" t="inlineStr">
        <is>
          <t>María González Rojas</t>
        </is>
      </c>
      <c r="C3" s="5" t="inlineStr">
        <is>
          <t>12.345.678-9</t>
        </is>
      </c>
      <c r="D3" s="5" t="inlineStr">
        <is>
          <t>Fonasa</t>
        </is>
      </c>
    </row>
    <row r="4" ht="15" customHeight="1">
      <c r="A4" s="6" t="n">
        <v>2</v>
      </c>
      <c r="B4" s="7" t="inlineStr">
        <is>
          <t>Jorge Muñoz Castillo</t>
        </is>
      </c>
      <c r="C4" s="8" t="inlineStr">
        <is>
          <t>9.876.543-2</t>
        </is>
      </c>
      <c r="D4" s="8" t="inlineStr">
        <is>
          <t>Isapre Colmena</t>
        </is>
      </c>
    </row>
    <row r="5" ht="15" customHeight="1">
      <c r="A5" s="3" t="n">
        <v>3</v>
      </c>
      <c r="B5" s="4" t="inlineStr">
        <is>
          <t>Ana Sofía Vera Pizarro</t>
        </is>
      </c>
      <c r="C5" s="5" t="inlineStr">
        <is>
          <t>15.234.567-K</t>
        </is>
      </c>
      <c r="D5" s="5" t="inlineStr">
        <is>
          <t>Isapre Banmedica</t>
        </is>
      </c>
    </row>
    <row r="6" ht="15" customHeight="1">
      <c r="A6" s="6" t="n">
        <v>4</v>
      </c>
      <c r="B6" s="7" t="inlineStr">
        <is>
          <t>Carlos Ramírez Torres</t>
        </is>
      </c>
      <c r="C6" s="8" t="inlineStr">
        <is>
          <t>8.765.432-1</t>
        </is>
      </c>
      <c r="D6" s="8" t="inlineStr">
        <is>
          <t>Fonasa</t>
        </is>
      </c>
    </row>
  </sheetData>
  <mergeCells count="1">
    <mergeCell ref="A1:D1"/>
  </mergeCells>
  <dataValidations count="1">
    <dataValidation sqref="D3:D1000" showDropDown="0" showInputMessage="0" showErrorMessage="0" allowBlank="1" type="list">
      <formula1>"Fonasa,Isapre Colmena,Isapre Banmedica,Isapre Vida Tres,Isapre Masvida,Isapre Consalud,Isapre Fundacion,Isalud,Isapre Cruz Blanca,Cruz del Norte,Isapre Esencial"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4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5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6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7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8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9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10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11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12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13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14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15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16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17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18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19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20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21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22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23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24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25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26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27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28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29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30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31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32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33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34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35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23" t="inlineStr">
        <is>
          <t>Hoja 36</t>
        </is>
      </c>
    </row>
    <row r="2">
      <c r="A2" s="24" t="inlineStr">
        <is>
          <t>Contenido pendiente de definicion.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2026-04-14T18:57:32Z</dcterms:created>
  <dcterms:modified xsi:type="dcterms:W3CDTF">2026-04-14T18:57:32Z</dcterms:modified>
</cp:coreProperties>
</file>